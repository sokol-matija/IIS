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0" yWindow="0" windowWidth="28800" windowHeight="12225"/>
  </bookViews>
  <sheets>
    <sheet name="Lis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/>
  <c r="K10"/>
  <c r="K9"/>
  <c r="K8"/>
  <c r="K12" l="1"/>
  <c r="K13" s="1"/>
</calcChain>
</file>

<file path=xl/sharedStrings.xml><?xml version="1.0" encoding="utf-8"?>
<sst xmlns="http://schemas.openxmlformats.org/spreadsheetml/2006/main" count="49" uniqueCount="38">
  <si>
    <t>Grupa predmeta nabave</t>
  </si>
  <si>
    <t>ATK šifra</t>
  </si>
  <si>
    <t>Oblik i jačina lijeka</t>
  </si>
  <si>
    <t>Jedinica mjere</t>
  </si>
  <si>
    <t>Zaštićeno ime</t>
  </si>
  <si>
    <t>Jedinična cijena bez PDV-a</t>
  </si>
  <si>
    <t>Iznos (bez PDV-a)</t>
  </si>
  <si>
    <t>IZNOS BEZ PDV-A</t>
  </si>
  <si>
    <t>PDV</t>
  </si>
  <si>
    <t>Nezaštićeno (generičko) ime</t>
  </si>
  <si>
    <t>Okvirne godišnje potrebe/kom</t>
  </si>
  <si>
    <t>kom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</si>
  <si>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</si>
  <si>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</si>
  <si>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</si>
  <si>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</si>
  <si>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</si>
  <si>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</si>
  <si>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</si>
  <si>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</si>
  <si>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</si>
  <si>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UKUPNO ZA GRUPU</t>
  </si>
  <si>
    <t>Klinički bolnički centar Zagreb</t>
  </si>
  <si>
    <t>Kišpatićeva 12</t>
  </si>
  <si>
    <t>Lijekovi na listama HZZO-a koji imaju generičke paralele</t>
  </si>
  <si>
    <t>Nositelj odobrenja</t>
  </si>
  <si>
    <t>11. = 7x10</t>
  </si>
  <si>
    <t>Redni broj stavke</t>
  </si>
  <si>
    <t xml:space="preserve">B01AF01 </t>
  </si>
  <si>
    <t>rivaroksaban</t>
  </si>
  <si>
    <t xml:space="preserve">tbl. film obl./caps. tvrda 10 mg </t>
  </si>
  <si>
    <t xml:space="preserve">rivaroksaban </t>
  </si>
  <si>
    <t>tbl. film obl./caps. tvrda 15 mg</t>
  </si>
  <si>
    <t>tbl. film obl./caps. tvrda 20 mg</t>
  </si>
  <si>
    <t>10.</t>
  </si>
  <si>
    <t>2.1</t>
  </si>
  <si>
    <t>Roxelana</t>
  </si>
  <si>
    <t>Pharmas d.o.o.</t>
  </si>
</sst>
</file>

<file path=xl/styles.xml><?xml version="1.0" encoding="utf-8"?>
<styleSheet xmlns="http://schemas.openxmlformats.org/spreadsheetml/2006/main">
  <numFmts count="4">
    <numFmt numFmtId="43" formatCode="_-* #,##0.00\ _k_n_-;\-* #,##0.00\ _k_n_-;_-* &quot;-&quot;??\ _k_n_-;_-@_-"/>
    <numFmt numFmtId="164" formatCode="#,##0.0000"/>
    <numFmt numFmtId="165" formatCode="#,##0_ ;\-#,##0\ "/>
    <numFmt numFmtId="166" formatCode="_-* #,##0.00\ _k_n_-;\-* #,##0.00\ _k_n_-;_-* \-??\ _k_n_-;_-@_-"/>
  </numFmts>
  <fonts count="8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Calibri"/>
      <family val="2"/>
    </font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5" fillId="0" borderId="0" applyFont="0" applyFill="0" applyBorder="0" applyAlignment="0" applyProtection="0"/>
    <xf numFmtId="166" fontId="7" fillId="0" borderId="0" applyBorder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4" fontId="3" fillId="0" borderId="1" xfId="0" applyNumberFormat="1" applyFont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protection locked="0"/>
    </xf>
    <xf numFmtId="4" fontId="3" fillId="2" borderId="1" xfId="0" applyNumberFormat="1" applyFont="1" applyFill="1" applyBorder="1" applyProtection="1"/>
    <xf numFmtId="0" fontId="6" fillId="0" borderId="1" xfId="0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 wrapText="1"/>
    </xf>
    <xf numFmtId="166" fontId="6" fillId="0" borderId="2" xfId="3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 applyProtection="1">
      <protection locked="0"/>
    </xf>
    <xf numFmtId="0" fontId="3" fillId="0" borderId="3" xfId="0" applyFont="1" applyBorder="1" applyAlignment="1" applyProtection="1">
      <protection locked="0"/>
    </xf>
    <xf numFmtId="0" fontId="2" fillId="2" borderId="3" xfId="0" applyFont="1" applyFill="1" applyBorder="1" applyAlignment="1" applyProtection="1">
      <protection locked="0"/>
    </xf>
    <xf numFmtId="0" fontId="4" fillId="0" borderId="0" xfId="0" applyFont="1" applyAlignment="1">
      <alignment horizontal="center"/>
    </xf>
  </cellXfs>
  <cellStyles count="4">
    <cellStyle name="Comma" xfId="2" builtinId="3"/>
    <cellStyle name="Comma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3"/>
  <sheetViews>
    <sheetView tabSelected="1" workbookViewId="0">
      <selection activeCell="K12" sqref="K12"/>
    </sheetView>
  </sheetViews>
  <sheetFormatPr defaultRowHeight="12.75"/>
  <cols>
    <col min="1" max="2" width="15.85546875" style="2" customWidth="1"/>
    <col min="3" max="3" width="12.7109375" style="2" customWidth="1"/>
    <col min="4" max="4" width="18.140625" style="2" customWidth="1"/>
    <col min="5" max="5" width="29.85546875" style="2" customWidth="1"/>
    <col min="6" max="6" width="9.42578125" style="2" customWidth="1"/>
    <col min="7" max="7" width="18.5703125" style="2" customWidth="1"/>
    <col min="8" max="8" width="29.140625" style="2" customWidth="1"/>
    <col min="9" max="9" width="25.85546875" style="2" customWidth="1"/>
    <col min="10" max="10" width="23" style="2" customWidth="1"/>
    <col min="11" max="11" width="25.28515625" style="2" customWidth="1"/>
    <col min="12" max="16384" width="9.140625" style="2"/>
  </cols>
  <sheetData>
    <row r="1" spans="1:11">
      <c r="A1" s="1" t="s">
        <v>22</v>
      </c>
      <c r="B1" s="1"/>
    </row>
    <row r="2" spans="1:11">
      <c r="A2" s="1" t="s">
        <v>23</v>
      </c>
      <c r="B2" s="1"/>
    </row>
    <row r="4" spans="1:11">
      <c r="A4" s="23" t="s">
        <v>24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6" spans="1:11" ht="25.5">
      <c r="A6" s="3" t="s">
        <v>0</v>
      </c>
      <c r="B6" s="3" t="s">
        <v>27</v>
      </c>
      <c r="C6" s="4" t="s">
        <v>1</v>
      </c>
      <c r="D6" s="3" t="s">
        <v>9</v>
      </c>
      <c r="E6" s="4" t="s">
        <v>2</v>
      </c>
      <c r="F6" s="3" t="s">
        <v>3</v>
      </c>
      <c r="G6" s="3" t="s">
        <v>10</v>
      </c>
      <c r="H6" s="5" t="s">
        <v>4</v>
      </c>
      <c r="I6" s="5" t="s">
        <v>25</v>
      </c>
      <c r="J6" s="6" t="s">
        <v>5</v>
      </c>
      <c r="K6" s="5" t="s">
        <v>6</v>
      </c>
    </row>
    <row r="7" spans="1:11">
      <c r="A7" s="7" t="s">
        <v>12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8" t="s">
        <v>18</v>
      </c>
      <c r="H7" s="8" t="s">
        <v>19</v>
      </c>
      <c r="I7" s="8" t="s">
        <v>20</v>
      </c>
      <c r="J7" s="8" t="s">
        <v>34</v>
      </c>
      <c r="K7" s="8" t="s">
        <v>26</v>
      </c>
    </row>
    <row r="8" spans="1:11" ht="30.75" customHeight="1">
      <c r="A8" s="19" t="s">
        <v>35</v>
      </c>
      <c r="B8" s="18">
        <v>1</v>
      </c>
      <c r="C8" s="15" t="s">
        <v>28</v>
      </c>
      <c r="D8" s="15" t="s">
        <v>29</v>
      </c>
      <c r="E8" s="15" t="s">
        <v>30</v>
      </c>
      <c r="F8" s="17" t="s">
        <v>11</v>
      </c>
      <c r="G8" s="16">
        <v>50958</v>
      </c>
      <c r="H8" s="9" t="s">
        <v>36</v>
      </c>
      <c r="I8" s="10" t="s">
        <v>37</v>
      </c>
      <c r="J8" s="11">
        <v>0.64100000000000001</v>
      </c>
      <c r="K8" s="12">
        <f>J8*G8</f>
        <v>32664.078000000001</v>
      </c>
    </row>
    <row r="9" spans="1:11" ht="30.75" customHeight="1">
      <c r="A9" s="19" t="s">
        <v>35</v>
      </c>
      <c r="B9" s="18">
        <v>2</v>
      </c>
      <c r="C9" s="15" t="s">
        <v>28</v>
      </c>
      <c r="D9" s="15" t="s">
        <v>31</v>
      </c>
      <c r="E9" s="15" t="s">
        <v>32</v>
      </c>
      <c r="F9" s="17" t="s">
        <v>11</v>
      </c>
      <c r="G9" s="16">
        <v>61112</v>
      </c>
      <c r="H9" s="9" t="s">
        <v>36</v>
      </c>
      <c r="I9" s="10" t="s">
        <v>37</v>
      </c>
      <c r="J9" s="11">
        <v>0.6411</v>
      </c>
      <c r="K9" s="12">
        <f>J9*G9</f>
        <v>39178.903200000001</v>
      </c>
    </row>
    <row r="10" spans="1:11" ht="30.75" customHeight="1">
      <c r="A10" s="19" t="s">
        <v>35</v>
      </c>
      <c r="B10" s="18">
        <v>3</v>
      </c>
      <c r="C10" s="15" t="s">
        <v>28</v>
      </c>
      <c r="D10" s="15" t="s">
        <v>31</v>
      </c>
      <c r="E10" s="15" t="s">
        <v>33</v>
      </c>
      <c r="F10" s="17" t="s">
        <v>11</v>
      </c>
      <c r="G10" s="16">
        <v>79505</v>
      </c>
      <c r="H10" s="9" t="s">
        <v>36</v>
      </c>
      <c r="I10" s="10" t="s">
        <v>37</v>
      </c>
      <c r="J10" s="11">
        <v>0.6411</v>
      </c>
      <c r="K10" s="12">
        <f>J10*G10</f>
        <v>50970.655500000001</v>
      </c>
    </row>
    <row r="11" spans="1:11">
      <c r="H11" s="13" t="s">
        <v>7</v>
      </c>
      <c r="I11" s="22"/>
      <c r="J11" s="22"/>
      <c r="K11" s="14">
        <f>SUM(K10+K9+K8)</f>
        <v>122813.6367</v>
      </c>
    </row>
    <row r="12" spans="1:11">
      <c r="H12" s="13" t="s">
        <v>8</v>
      </c>
      <c r="I12" s="22"/>
      <c r="J12" s="22"/>
      <c r="K12" s="14">
        <f>K11*0.05</f>
        <v>6140.6818350000003</v>
      </c>
    </row>
    <row r="13" spans="1:11">
      <c r="H13" s="20" t="s">
        <v>21</v>
      </c>
      <c r="I13" s="21"/>
      <c r="J13" s="21"/>
      <c r="K13" s="14">
        <f>SUM(K11+K12)</f>
        <v>128954.318535</v>
      </c>
    </row>
  </sheetData>
  <sheetProtection sheet="1" objects="1" scenarios="1" formatCells="0" formatColumns="0" formatRows="0"/>
  <protectedRanges>
    <protectedRange sqref="H8:K10 K11:K13" name="Range1"/>
  </protectedRanges>
  <mergeCells count="4">
    <mergeCell ref="H13:J13"/>
    <mergeCell ref="I11:J11"/>
    <mergeCell ref="I12:J12"/>
    <mergeCell ref="A4:K4"/>
  </mergeCells>
  <pageMargins left="0.7" right="0.7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Slađana Čižmek</dc:creator>
  <cp:lastModifiedBy>Prodaja1</cp:lastModifiedBy>
  <cp:lastPrinted>2022-08-02T06:03:43Z</cp:lastPrinted>
  <dcterms:created xsi:type="dcterms:W3CDTF">2019-02-19T08:29:14Z</dcterms:created>
  <dcterms:modified xsi:type="dcterms:W3CDTF">2026-03-10T09:21:51Z</dcterms:modified>
</cp:coreProperties>
</file>